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ção TOP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6B7280"/>
    </font>
    <font>
      <b val="1"/>
      <color rgb="000F766E"/>
      <sz val="13"/>
    </font>
    <font>
      <b val="1"/>
      <color rgb="00FFFFFF"/>
    </font>
    <font>
      <color rgb="006B7280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2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3" borderId="0" pivotButton="0" quotePrefix="0" xfId="0"/>
    <xf numFmtId="1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Validação manual do método TOPSIS</t>
        </is>
      </c>
    </row>
    <row r="2">
      <c r="A2" s="2" t="inlineStr">
        <is>
          <t>Exemplo numérico do documento de referência (Cap. 7.3) com os 7 critérios; C6 e C7 com peso 0. Resultado esperado: B &gt; A &gt; C.</t>
        </is>
      </c>
    </row>
    <row r="4">
      <c r="A4" s="3" t="inlineStr">
        <is>
          <t>1. Matriz de decisão (x_ij)</t>
        </is>
      </c>
      <c r="B4" s="4" t="inlineStr">
        <is>
          <t>% sem eletricidade</t>
        </is>
      </c>
      <c r="C4" s="4" t="inlineStr">
        <is>
          <t>Solar (kW/hab)</t>
        </is>
      </c>
      <c r="D4" s="4" t="inlineStr">
        <is>
          <t>Renda per capita</t>
        </is>
      </c>
      <c r="E4" s="4" t="inlineStr">
        <is>
          <t>Tarifa (R$/kWh)</t>
        </is>
      </c>
      <c r="F4" s="4" t="inlineStr">
        <is>
          <t>Irradiação</t>
        </is>
      </c>
      <c r="G4" s="4" t="inlineStr">
        <is>
          <t>% extrema pobreza</t>
        </is>
      </c>
      <c r="H4" s="4" t="inlineStr">
        <is>
          <t>Projetos renováveis</t>
        </is>
      </c>
    </row>
    <row r="5">
      <c r="A5" s="5" t="inlineStr">
        <is>
          <t>Município</t>
        </is>
      </c>
      <c r="B5" s="6" t="inlineStr">
        <is>
          <t>C1</t>
        </is>
      </c>
      <c r="C5" s="6" t="inlineStr">
        <is>
          <t>C2</t>
        </is>
      </c>
      <c r="D5" s="6" t="inlineStr">
        <is>
          <t>C3</t>
        </is>
      </c>
      <c r="E5" s="6" t="inlineStr">
        <is>
          <t>C4</t>
        </is>
      </c>
      <c r="F5" s="6" t="inlineStr">
        <is>
          <t>C5</t>
        </is>
      </c>
      <c r="G5" s="6" t="inlineStr">
        <is>
          <t>C6</t>
        </is>
      </c>
      <c r="H5" s="6" t="inlineStr">
        <is>
          <t>C7</t>
        </is>
      </c>
    </row>
    <row r="6">
      <c r="A6" t="inlineStr">
        <is>
          <t>Município A</t>
        </is>
      </c>
      <c r="B6" t="n">
        <v>15</v>
      </c>
      <c r="C6" t="n">
        <v>0.8</v>
      </c>
      <c r="D6" t="n">
        <v>980</v>
      </c>
      <c r="E6" t="n">
        <v>0.75</v>
      </c>
      <c r="F6" t="n">
        <v>5.2</v>
      </c>
      <c r="G6" t="n">
        <v>18</v>
      </c>
      <c r="H6" t="n">
        <v>4</v>
      </c>
    </row>
    <row r="7">
      <c r="A7" t="inlineStr">
        <is>
          <t>Município B</t>
        </is>
      </c>
      <c r="B7" t="n">
        <v>5</v>
      </c>
      <c r="C7" t="n">
        <v>2.1</v>
      </c>
      <c r="D7" t="n">
        <v>1850</v>
      </c>
      <c r="E7" t="n">
        <v>0.62</v>
      </c>
      <c r="F7" t="n">
        <v>5.8</v>
      </c>
      <c r="G7" t="n">
        <v>7</v>
      </c>
      <c r="H7" t="n">
        <v>8</v>
      </c>
    </row>
    <row r="8">
      <c r="A8" t="inlineStr">
        <is>
          <t>Município C</t>
        </is>
      </c>
      <c r="B8" t="n">
        <v>22</v>
      </c>
      <c r="C8" t="n">
        <v>0.3</v>
      </c>
      <c r="D8" t="n">
        <v>650</v>
      </c>
      <c r="E8" t="n">
        <v>0.89</v>
      </c>
      <c r="F8" t="n">
        <v>4.9</v>
      </c>
      <c r="G8" t="n">
        <v>25</v>
      </c>
      <c r="H8" t="n">
        <v>2</v>
      </c>
    </row>
    <row r="9">
      <c r="A9" s="7" t="inlineStr">
        <is>
          <t>Tipo</t>
        </is>
      </c>
      <c r="B9" t="inlineStr">
        <is>
          <t>custo</t>
        </is>
      </c>
      <c r="C9" t="inlineStr">
        <is>
          <t>beneficio</t>
        </is>
      </c>
      <c r="D9" t="inlineStr">
        <is>
          <t>beneficio</t>
        </is>
      </c>
      <c r="E9" t="inlineStr">
        <is>
          <t>custo</t>
        </is>
      </c>
      <c r="F9" t="inlineStr">
        <is>
          <t>beneficio</t>
        </is>
      </c>
      <c r="G9" t="inlineStr">
        <is>
          <t>custo</t>
        </is>
      </c>
      <c r="H9" t="inlineStr">
        <is>
          <t>beneficio</t>
        </is>
      </c>
    </row>
    <row r="10">
      <c r="A10" s="7" t="inlineStr">
        <is>
          <t>Peso (w_j)</t>
        </is>
      </c>
      <c r="B10" s="8" t="n">
        <v>0.2</v>
      </c>
      <c r="C10" s="8" t="n">
        <v>0.2</v>
      </c>
      <c r="D10" s="8" t="n">
        <v>0.15</v>
      </c>
      <c r="E10" s="8" t="n">
        <v>0.25</v>
      </c>
      <c r="F10" s="8" t="n">
        <v>0.2</v>
      </c>
      <c r="G10" s="8" t="n">
        <v>0</v>
      </c>
      <c r="H10" s="8" t="n">
        <v>0</v>
      </c>
    </row>
    <row r="11">
      <c r="A11" s="7" t="inlineStr">
        <is>
          <t>Soma dos pesos</t>
        </is>
      </c>
      <c r="B11" s="9">
        <f>SUM(B10:H10)</f>
        <v/>
      </c>
    </row>
    <row r="12"/>
    <row r="13">
      <c r="A13" s="3" t="inlineStr">
        <is>
          <t>2. Normalização vetorial: r_ij = x_ij / √(Σ x_ij²)</t>
        </is>
      </c>
    </row>
    <row r="14">
      <c r="A14" s="7" t="inlineStr">
        <is>
          <t>√(Σ x²)</t>
        </is>
      </c>
      <c r="B14" s="9">
        <f>SQRT(SUMSQ(B6:B8))</f>
        <v/>
      </c>
      <c r="C14" s="9">
        <f>SQRT(SUMSQ(C6:C8))</f>
        <v/>
      </c>
      <c r="D14" s="9">
        <f>SQRT(SUMSQ(D6:D8))</f>
        <v/>
      </c>
      <c r="E14" s="9">
        <f>SQRT(SUMSQ(E6:E8))</f>
        <v/>
      </c>
      <c r="F14" s="9">
        <f>SQRT(SUMSQ(F6:F8))</f>
        <v/>
      </c>
      <c r="G14" s="9">
        <f>SQRT(SUMSQ(G6:G8))</f>
        <v/>
      </c>
      <c r="H14" s="9">
        <f>SQRT(SUMSQ(H6:H8))</f>
        <v/>
      </c>
    </row>
    <row r="15">
      <c r="A15" s="5" t="inlineStr">
        <is>
          <t>Município</t>
        </is>
      </c>
      <c r="B15" s="6" t="inlineStr">
        <is>
          <t>C1</t>
        </is>
      </c>
      <c r="C15" s="6" t="inlineStr">
        <is>
          <t>C2</t>
        </is>
      </c>
      <c r="D15" s="6" t="inlineStr">
        <is>
          <t>C3</t>
        </is>
      </c>
      <c r="E15" s="6" t="inlineStr">
        <is>
          <t>C4</t>
        </is>
      </c>
      <c r="F15" s="6" t="inlineStr">
        <is>
          <t>C5</t>
        </is>
      </c>
      <c r="G15" s="6" t="inlineStr">
        <is>
          <t>C6</t>
        </is>
      </c>
      <c r="H15" s="6" t="inlineStr">
        <is>
          <t>C7</t>
        </is>
      </c>
    </row>
    <row r="16">
      <c r="A16" t="inlineStr">
        <is>
          <t>Município A</t>
        </is>
      </c>
      <c r="B16" s="9">
        <f>B6/B$14</f>
        <v/>
      </c>
      <c r="C16" s="9">
        <f>C6/C$14</f>
        <v/>
      </c>
      <c r="D16" s="9">
        <f>D6/D$14</f>
        <v/>
      </c>
      <c r="E16" s="9">
        <f>E6/E$14</f>
        <v/>
      </c>
      <c r="F16" s="9">
        <f>F6/F$14</f>
        <v/>
      </c>
      <c r="G16" s="9">
        <f>G6/G$14</f>
        <v/>
      </c>
      <c r="H16" s="9">
        <f>H6/H$14</f>
        <v/>
      </c>
    </row>
    <row r="17">
      <c r="A17" t="inlineStr">
        <is>
          <t>Município B</t>
        </is>
      </c>
      <c r="B17" s="9">
        <f>B7/B$14</f>
        <v/>
      </c>
      <c r="C17" s="9">
        <f>C7/C$14</f>
        <v/>
      </c>
      <c r="D17" s="9">
        <f>D7/D$14</f>
        <v/>
      </c>
      <c r="E17" s="9">
        <f>E7/E$14</f>
        <v/>
      </c>
      <c r="F17" s="9">
        <f>F7/F$14</f>
        <v/>
      </c>
      <c r="G17" s="9">
        <f>G7/G$14</f>
        <v/>
      </c>
      <c r="H17" s="9">
        <f>H7/H$14</f>
        <v/>
      </c>
    </row>
    <row r="18">
      <c r="A18" t="inlineStr">
        <is>
          <t>Município C</t>
        </is>
      </c>
      <c r="B18" s="9">
        <f>B8/B$14</f>
        <v/>
      </c>
      <c r="C18" s="9">
        <f>C8/C$14</f>
        <v/>
      </c>
      <c r="D18" s="9">
        <f>D8/D$14</f>
        <v/>
      </c>
      <c r="E18" s="9">
        <f>E8/E$14</f>
        <v/>
      </c>
      <c r="F18" s="9">
        <f>F8/F$14</f>
        <v/>
      </c>
      <c r="G18" s="9">
        <f>G8/G$14</f>
        <v/>
      </c>
      <c r="H18" s="9">
        <f>H8/H$14</f>
        <v/>
      </c>
    </row>
    <row r="19"/>
    <row r="20">
      <c r="A20" s="3" t="inlineStr">
        <is>
          <t>3. Matriz ponderada: v_ij = w_j · r_ij</t>
        </is>
      </c>
    </row>
    <row r="21">
      <c r="A21" s="5" t="inlineStr">
        <is>
          <t>Município</t>
        </is>
      </c>
      <c r="B21" s="6" t="inlineStr">
        <is>
          <t>C1</t>
        </is>
      </c>
      <c r="C21" s="6" t="inlineStr">
        <is>
          <t>C2</t>
        </is>
      </c>
      <c r="D21" s="6" t="inlineStr">
        <is>
          <t>C3</t>
        </is>
      </c>
      <c r="E21" s="6" t="inlineStr">
        <is>
          <t>C4</t>
        </is>
      </c>
      <c r="F21" s="6" t="inlineStr">
        <is>
          <t>C5</t>
        </is>
      </c>
      <c r="G21" s="6" t="inlineStr">
        <is>
          <t>C6</t>
        </is>
      </c>
      <c r="H21" s="6" t="inlineStr">
        <is>
          <t>C7</t>
        </is>
      </c>
    </row>
    <row r="22">
      <c r="A22" t="inlineStr">
        <is>
          <t>Município A</t>
        </is>
      </c>
      <c r="B22" s="9">
        <f>B16*B$10</f>
        <v/>
      </c>
      <c r="C22" s="9">
        <f>C16*C$10</f>
        <v/>
      </c>
      <c r="D22" s="9">
        <f>D16*D$10</f>
        <v/>
      </c>
      <c r="E22" s="9">
        <f>E16*E$10</f>
        <v/>
      </c>
      <c r="F22" s="9">
        <f>F16*F$10</f>
        <v/>
      </c>
      <c r="G22" s="9">
        <f>G16*G$10</f>
        <v/>
      </c>
      <c r="H22" s="9">
        <f>H16*H$10</f>
        <v/>
      </c>
    </row>
    <row r="23">
      <c r="A23" t="inlineStr">
        <is>
          <t>Município B</t>
        </is>
      </c>
      <c r="B23" s="9">
        <f>B17*B$10</f>
        <v/>
      </c>
      <c r="C23" s="9">
        <f>C17*C$10</f>
        <v/>
      </c>
      <c r="D23" s="9">
        <f>D17*D$10</f>
        <v/>
      </c>
      <c r="E23" s="9">
        <f>E17*E$10</f>
        <v/>
      </c>
      <c r="F23" s="9">
        <f>F17*F$10</f>
        <v/>
      </c>
      <c r="G23" s="9">
        <f>G17*G$10</f>
        <v/>
      </c>
      <c r="H23" s="9">
        <f>H17*H$10</f>
        <v/>
      </c>
    </row>
    <row r="24">
      <c r="A24" t="inlineStr">
        <is>
          <t>Município C</t>
        </is>
      </c>
      <c r="B24" s="9">
        <f>B18*B$10</f>
        <v/>
      </c>
      <c r="C24" s="9">
        <f>C18*C$10</f>
        <v/>
      </c>
      <c r="D24" s="9">
        <f>D18*D$10</f>
        <v/>
      </c>
      <c r="E24" s="9">
        <f>E18*E$10</f>
        <v/>
      </c>
      <c r="F24" s="9">
        <f>F18*F$10</f>
        <v/>
      </c>
      <c r="G24" s="9">
        <f>G18*G$10</f>
        <v/>
      </c>
      <c r="H24" s="9">
        <f>H18*H$10</f>
        <v/>
      </c>
    </row>
    <row r="25"/>
    <row r="26">
      <c r="A26" s="3" t="inlineStr">
        <is>
          <t>4 e 5. Soluções ideais (benefício: A+ = máx, A- = mín; custo: o inverso)</t>
        </is>
      </c>
    </row>
    <row r="27">
      <c r="A27" s="5" t="inlineStr">
        <is>
          <t>Município</t>
        </is>
      </c>
      <c r="B27" s="6" t="inlineStr">
        <is>
          <t>C1</t>
        </is>
      </c>
      <c r="C27" s="6" t="inlineStr">
        <is>
          <t>C2</t>
        </is>
      </c>
      <c r="D27" s="6" t="inlineStr">
        <is>
          <t>C3</t>
        </is>
      </c>
      <c r="E27" s="6" t="inlineStr">
        <is>
          <t>C4</t>
        </is>
      </c>
      <c r="F27" s="6" t="inlineStr">
        <is>
          <t>C5</t>
        </is>
      </c>
      <c r="G27" s="6" t="inlineStr">
        <is>
          <t>C6</t>
        </is>
      </c>
      <c r="H27" s="6" t="inlineStr">
        <is>
          <t>C7</t>
        </is>
      </c>
    </row>
    <row r="28">
      <c r="A28" s="7" t="inlineStr">
        <is>
          <t>A+ (ideal positiva)</t>
        </is>
      </c>
      <c r="B28" s="9">
        <f>IF(B$9="beneficio",MAX(B22:B24),MIN(B22:B24))</f>
        <v/>
      </c>
      <c r="C28" s="9">
        <f>IF(C$9="beneficio",MAX(C22:C24),MIN(C22:C24))</f>
        <v/>
      </c>
      <c r="D28" s="9">
        <f>IF(D$9="beneficio",MAX(D22:D24),MIN(D22:D24))</f>
        <v/>
      </c>
      <c r="E28" s="9">
        <f>IF(E$9="beneficio",MAX(E22:E24),MIN(E22:E24))</f>
        <v/>
      </c>
      <c r="F28" s="9">
        <f>IF(F$9="beneficio",MAX(F22:F24),MIN(F22:F24))</f>
        <v/>
      </c>
      <c r="G28" s="9">
        <f>IF(G$9="beneficio",MAX(G22:G24),MIN(G22:G24))</f>
        <v/>
      </c>
      <c r="H28" s="9">
        <f>IF(H$9="beneficio",MAX(H22:H24),MIN(H22:H24))</f>
        <v/>
      </c>
    </row>
    <row r="29">
      <c r="A29" s="7" t="inlineStr">
        <is>
          <t>A- (ideal negativa)</t>
        </is>
      </c>
      <c r="B29" s="9">
        <f>IF(B$9="beneficio",MIN(B22:B24),MAX(B22:B24))</f>
        <v/>
      </c>
      <c r="C29" s="9">
        <f>IF(C$9="beneficio",MIN(C22:C24),MAX(C22:C24))</f>
        <v/>
      </c>
      <c r="D29" s="9">
        <f>IF(D$9="beneficio",MIN(D22:D24),MAX(D22:D24))</f>
        <v/>
      </c>
      <c r="E29" s="9">
        <f>IF(E$9="beneficio",MIN(E22:E24),MAX(E22:E24))</f>
        <v/>
      </c>
      <c r="F29" s="9">
        <f>IF(F$9="beneficio",MIN(F22:F24),MAX(F22:F24))</f>
        <v/>
      </c>
      <c r="G29" s="9">
        <f>IF(G$9="beneficio",MIN(G22:G24),MAX(G22:G24))</f>
        <v/>
      </c>
      <c r="H29" s="9">
        <f>IF(H$9="beneficio",MIN(H22:H24),MAX(H22:H24))</f>
        <v/>
      </c>
    </row>
    <row r="30"/>
    <row r="31">
      <c r="A31" s="3" t="inlineStr">
        <is>
          <t>6 a 8. Distâncias, coeficiente Ci = D- / (D+ + D-) e ranking</t>
        </is>
      </c>
    </row>
    <row r="32">
      <c r="A32" s="5" t="inlineStr">
        <is>
          <t>Município</t>
        </is>
      </c>
      <c r="B32" s="5" t="inlineStr">
        <is>
          <t>D+</t>
        </is>
      </c>
      <c r="C32" s="5" t="inlineStr">
        <is>
          <t>D-</t>
        </is>
      </c>
      <c r="D32" s="5" t="inlineStr">
        <is>
          <t>Ci</t>
        </is>
      </c>
      <c r="E32" s="5" t="inlineStr">
        <is>
          <t>Posição</t>
        </is>
      </c>
      <c r="F32" s="5" t="inlineStr">
        <is>
          <t>Ci (sistema)</t>
        </is>
      </c>
      <c r="G32" s="5" t="inlineStr">
        <is>
          <t>D+ (sistema)</t>
        </is>
      </c>
      <c r="H32" s="5" t="inlineStr">
        <is>
          <t>D- (sistema)</t>
        </is>
      </c>
      <c r="I32" s="5" t="inlineStr">
        <is>
          <t>Posição (sistema)</t>
        </is>
      </c>
      <c r="J32" s="5" t="inlineStr">
        <is>
          <t>Confere?</t>
        </is>
      </c>
    </row>
    <row r="33">
      <c r="A33" t="inlineStr">
        <is>
          <t>Município A</t>
        </is>
      </c>
      <c r="B33" s="9">
        <f>SQRT(SUMXMY2(B22:H22,B$28:H$28))</f>
        <v/>
      </c>
      <c r="C33" s="9">
        <f>SQRT(SUMXMY2(B22:H22,B$29:H$29))</f>
        <v/>
      </c>
      <c r="D33" s="9">
        <f>C33/(B33+C33)</f>
        <v/>
      </c>
      <c r="E33" s="10">
        <f>RANK(D33,$D$33:$D$35,0)</f>
        <v/>
      </c>
      <c r="F33" s="11" t="n">
        <v>0.33605793</v>
      </c>
      <c r="G33" s="11" t="n">
        <v>0.15140259</v>
      </c>
      <c r="H33" s="11" t="n">
        <v>0.07663325999999999</v>
      </c>
      <c r="I33" s="12" t="n">
        <v>2</v>
      </c>
      <c r="J33" s="7">
        <f>IF(AND(ABS(D33-F33)&lt;0.000001,ABS(B33-G33)&lt;0.000001,ABS(C33-H33)&lt;0.000001,E33=I33),"OK","DIVERGENTE")</f>
        <v/>
      </c>
    </row>
    <row r="34">
      <c r="A34" t="inlineStr">
        <is>
          <t>Município B</t>
        </is>
      </c>
      <c r="B34" s="9">
        <f>SQRT(SUMXMY2(B23:H23,B$28:H$28))</f>
        <v/>
      </c>
      <c r="C34" s="9">
        <f>SQRT(SUMXMY2(B23:H23,B$29:H$29))</f>
        <v/>
      </c>
      <c r="D34" s="9">
        <f>C34/(B34+C34)</f>
        <v/>
      </c>
      <c r="E34" s="10">
        <f>RANK(D34,$D$33:$D$35,0)</f>
        <v/>
      </c>
      <c r="F34" s="11" t="n">
        <v>1</v>
      </c>
      <c r="G34" s="11" t="n">
        <v>0</v>
      </c>
      <c r="H34" s="11" t="n">
        <v>0.22518515</v>
      </c>
      <c r="I34" s="12" t="n">
        <v>1</v>
      </c>
      <c r="J34" s="7">
        <f>IF(AND(ABS(D34-F34)&lt;0.000001,ABS(B34-G34)&lt;0.000001,ABS(C34-H34)&lt;0.000001,E34=I34),"OK","DIVERGENTE")</f>
        <v/>
      </c>
    </row>
    <row r="35">
      <c r="A35" t="inlineStr">
        <is>
          <t>Município C</t>
        </is>
      </c>
      <c r="B35" s="9">
        <f>SQRT(SUMXMY2(B24:H24,B$28:H$28))</f>
        <v/>
      </c>
      <c r="C35" s="9">
        <f>SQRT(SUMXMY2(B24:H24,B$29:H$29))</f>
        <v/>
      </c>
      <c r="D35" s="9">
        <f>C35/(B35+C35)</f>
        <v/>
      </c>
      <c r="E35" s="10">
        <f>RANK(D35,$D$33:$D$35,0)</f>
        <v/>
      </c>
      <c r="F35" s="11" t="n">
        <v>0</v>
      </c>
      <c r="G35" s="11" t="n">
        <v>0.22518515</v>
      </c>
      <c r="H35" s="11" t="n">
        <v>0</v>
      </c>
      <c r="I35" s="12" t="n">
        <v>3</v>
      </c>
      <c r="J35" s="7">
        <f>IF(AND(ABS(D35-F35)&lt;0.000001,ABS(B35-G35)&lt;0.000001,ABS(C35-H35)&lt;0.000001,E35=I35),"OK","DIVERGENTE")</f>
        <v/>
      </c>
    </row>
    <row r="37">
      <c r="A37" s="2" t="inlineStr">
        <is>
          <t>Resultado esperado (documento): B &gt; A &gt; C. Valores do sistema obtidos da simulação #73 (GET /api/simulacoes/73), gravados com 8 casas decimais.</t>
        </is>
      </c>
    </row>
    <row r="38">
      <c r="A38" s="2" t="inlineStr">
        <is>
          <t>Também verificado nos testes automatizados: backend/tests/topsis.test.js.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2026-10-07T21:44:44Z</dcterms:created>
  <dcterms:modified xmlns:dcterms="http://purl.org/dc/terms/" xmlns:xsi="http://www.w3.org/2001/XMLSchema-instance" xsi:type="dcterms:W3CDTF">2026-10-07T21:44:44Z</dcterms:modified>
</cp:coreProperties>
</file>